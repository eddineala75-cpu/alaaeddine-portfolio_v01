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ENOVO\Downloads\deployment v1\samples\"/>
    </mc:Choice>
  </mc:AlternateContent>
  <xr:revisionPtr revIDLastSave="0" documentId="8_{BE74117F-9EBC-4693-AB30-D08C8E2C98E5}" xr6:coauthVersionLast="47" xr6:coauthVersionMax="47" xr10:uidLastSave="{00000000-0000-0000-0000-000000000000}"/>
  <bookViews>
    <workbookView xWindow="-108" yWindow="-108" windowWidth="23256" windowHeight="12576" activeTab="3" xr2:uid="{00000000-000D-0000-FFFF-FFFF00000000}"/>
  </bookViews>
  <sheets>
    <sheet name="Echelles" sheetId="2" r:id="rId1"/>
    <sheet name="Listes" sheetId="4" r:id="rId2"/>
    <sheet name="Evaluation des opportunités" sheetId="1" r:id="rId3"/>
    <sheet name="Cartographie" sheetId="3" r:id="rId4"/>
  </sheets>
  <externalReferences>
    <externalReference r:id="rId5"/>
  </externalReferences>
  <definedNames>
    <definedName name="Processus">Listes!$G$4:$G$14</definedName>
    <definedName name="Responsables">Listes!$C$4:$C$17</definedName>
    <definedName name="Score">Echelles!$D$6:$D$9</definedName>
    <definedName name="Slicer_Décision">#N/A</definedName>
    <definedName name="Slicer_Priorité">#N/A</definedName>
    <definedName name="Slicer_Responsable">#N/A</definedName>
    <definedName name="V">Echelles!$N$6:$N$8</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I4" i="1" s="1"/>
  <c r="H5" i="1"/>
  <c r="H6" i="1"/>
  <c r="H7" i="1"/>
  <c r="H8" i="1"/>
  <c r="I8" i="1" s="1"/>
  <c r="H9" i="1"/>
  <c r="I9" i="1" s="1"/>
  <c r="H10" i="1"/>
  <c r="H11" i="1"/>
  <c r="H12" i="1"/>
  <c r="I12" i="1" s="1"/>
  <c r="H13" i="1"/>
  <c r="H14" i="1"/>
  <c r="H15" i="1"/>
  <c r="I15" i="1" s="1"/>
  <c r="I14" i="1"/>
  <c r="I13" i="1"/>
  <c r="I11" i="1"/>
  <c r="I10" i="1"/>
  <c r="I7" i="1"/>
  <c r="I6" i="1"/>
  <c r="I5" i="1"/>
  <c r="I3" i="1"/>
  <c r="I2" i="1"/>
</calcChain>
</file>

<file path=xl/sharedStrings.xml><?xml version="1.0" encoding="utf-8"?>
<sst xmlns="http://schemas.openxmlformats.org/spreadsheetml/2006/main" count="83" uniqueCount="67">
  <si>
    <t>ID</t>
  </si>
  <si>
    <t>Opportunité</t>
  </si>
  <si>
    <t>Source</t>
  </si>
  <si>
    <t>Processus</t>
  </si>
  <si>
    <t>Description</t>
  </si>
  <si>
    <t>Impact (A)</t>
  </si>
  <si>
    <t>Score (V)</t>
  </si>
  <si>
    <t>Priorité</t>
  </si>
  <si>
    <t>Décision</t>
  </si>
  <si>
    <t>Actions</t>
  </si>
  <si>
    <t>Responsable</t>
  </si>
  <si>
    <t>Échéance</t>
  </si>
  <si>
    <t>Statut</t>
  </si>
  <si>
    <t>Résultat / Gain</t>
  </si>
  <si>
    <t>OP01</t>
  </si>
  <si>
    <t>Formalisation gestion opportunités</t>
  </si>
  <si>
    <t>Diagnostic</t>
  </si>
  <si>
    <t>Retenue</t>
  </si>
  <si>
    <t>En cours</t>
  </si>
  <si>
    <t>Score</t>
  </si>
  <si>
    <t>Niveau</t>
  </si>
  <si>
    <t>Important</t>
  </si>
  <si>
    <t>Moyen</t>
  </si>
  <si>
    <t>Faible</t>
  </si>
  <si>
    <t>Catégorie</t>
  </si>
  <si>
    <t>Prioritaire</t>
  </si>
  <si>
    <t>Intégration AI</t>
  </si>
  <si>
    <t>OP02</t>
  </si>
  <si>
    <t>OP04</t>
  </si>
  <si>
    <t>OP05</t>
  </si>
  <si>
    <t>OP06</t>
  </si>
  <si>
    <t>OP07</t>
  </si>
  <si>
    <t>OP08</t>
  </si>
  <si>
    <t>élevé</t>
  </si>
  <si>
    <t>Vraisemblance</t>
  </si>
  <si>
    <t>Non prioritaire</t>
  </si>
  <si>
    <t>Impact</t>
  </si>
  <si>
    <t>Trés élevé</t>
  </si>
  <si>
    <t>Direction</t>
  </si>
  <si>
    <t>L'opportunité apporterait une amélioration marginale : légère optimisation d'un processus, réduction mineure de coûts ou gain de temps limité. Impact circonscrit à une activité ou une équipe restreinte.</t>
  </si>
  <si>
    <t>L'opportunité permettrait une amélioration notable : amélioration de la satisfaction client, renforcement de la sécurité de l'information sur un périmètre défini, ou réduction sensible des délais.</t>
  </si>
  <si>
    <t>L'opportunité génèrerait un impact significatif sur les objectifs stratégiques : amélioration majeure de la performance opérationnelle, renforcement de la conformité réglementaire, ou gain concurrentiel important.</t>
  </si>
  <si>
    <t>L'opportunité ouvre de nouveaux marchés ou segments stratégiques : expansion géographique, diversification de l'offre, création d'un nouveau modèle économique ou accès à de nouveaux clients. Impact transformationnel pour l'organisme.</t>
  </si>
  <si>
    <t>La concrétisation de l'opportunité est peu probable dans les conditions actuelles. Les ressources nécessaires, les compétences ou le contexte ne réunissent pas encore les conditions favorables.</t>
  </si>
  <si>
    <t>La réalisation est envisageable mais dépend de conditions partiellement réunies. Des efforts de préparation ou d'adaptation sont nécessaires avant d'exploiter l'opportunité.</t>
  </si>
  <si>
    <t>La réalisation est probable et les conditions nécessaires sont largement réunies : ressources disponibles, contexte favorable, parties prenantes engagées. L'opportunité peut être saisie à court terme.</t>
  </si>
  <si>
    <t>Non significative :</t>
  </si>
  <si>
    <t>Opportunité à surveiller mais sans plan d'action immédiat.</t>
  </si>
  <si>
    <t>Significative : Opportunité à saisir. Un plan d'action doit être élaboré et suivi.</t>
  </si>
  <si>
    <t>Action requise</t>
  </si>
  <si>
    <t>Score (I × V)</t>
  </si>
  <si>
    <t>&lt; 6</t>
  </si>
  <si>
    <t>Élaboration d'un plan d'action formalisé avec responsable, délais et ressources.</t>
  </si>
  <si>
    <t>≥ 6</t>
  </si>
  <si>
    <t>Enregistrement sur l'outil qualité. Réévaluation lors de la prochaine revue.</t>
  </si>
  <si>
    <t>RMQ</t>
  </si>
  <si>
    <t>Directeur technique</t>
  </si>
  <si>
    <t>Directeur marketing</t>
  </si>
  <si>
    <t>Commercial</t>
  </si>
  <si>
    <t>Consultant</t>
  </si>
  <si>
    <t>SAV</t>
  </si>
  <si>
    <t>Directeur financier</t>
  </si>
  <si>
    <t>Responsable sécurité</t>
  </si>
  <si>
    <t>Responsable IT</t>
  </si>
  <si>
    <t>Administration</t>
  </si>
  <si>
    <t>Partenariat stratégique</t>
  </si>
  <si>
    <t>Rapprochement avec un partenaire stratégique permettant une mutualisation des compétences et des ressources.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</si>
</sst>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8"/>
      <color theme="0"/>
      <name val="Calibri"/>
      <family val="2"/>
      <charset val="1"/>
    </font>
    <font>
      <sz val="11"/>
      <color theme="0"/>
      <name val="Calibri"/>
      <family val="2"/>
      <charset val="1"/>
    </font>
    <font>
      <b/>
      <sz val="12"/>
      <color theme="1"/>
      <name val="Times New Roman"/>
      <family val="1"/>
      <charset val="1"/>
    </font>
    <font>
      <sz val="11"/>
      <color rgb="FF000000"/>
      <name val="Work Sans"/>
      <charset val="1"/>
    </font>
    <font>
      <b/>
      <sz val="12"/>
      <color rgb="FF000000"/>
      <name val="Times New Roman"/>
      <family val="1"/>
      <charset val="1"/>
    </font>
    <font>
      <b/>
      <sz val="10"/>
      <color theme="1"/>
      <name val="Work Sans"/>
      <charset val="1"/>
    </font>
    <font>
      <b/>
      <sz val="10"/>
      <color rgb="FF000000"/>
      <name val="Work Sans"/>
      <charset val="1"/>
    </font>
    <font>
      <sz val="12"/>
      <color theme="1"/>
      <name val="Times New Roman"/>
      <family val="1"/>
      <charset val="1"/>
    </font>
    <font>
      <b/>
      <sz val="11"/>
      <color rgb="FF000000"/>
      <name val="Work Sans"/>
      <charset val="1"/>
    </font>
    <font>
      <sz val="10"/>
      <color rgb="FF000000"/>
      <name val="Lato"/>
      <family val="2"/>
      <charset val="1"/>
    </font>
    <font>
      <b/>
      <sz val="14"/>
      <color theme="1"/>
      <name val="Calibri"/>
      <family val="2"/>
      <charset val="1"/>
    </font>
    <font>
      <sz val="12"/>
      <color theme="1"/>
      <name val="Calibri"/>
      <family val="2"/>
      <charset val="1"/>
    </font>
    <font>
      <b/>
      <sz val="12"/>
      <color theme="1"/>
      <name val="Calibri"/>
      <family val="2"/>
      <charset val="1"/>
    </font>
  </fonts>
  <fills count="9">
    <fill>
      <patternFill patternType="none"/>
    </fill>
    <fill>
      <patternFill patternType="gray125"/>
    </fill>
    <fill>
      <patternFill patternType="solid">
        <fgColor theme="4" tint="0.79998168889431442"/>
        <bgColor indexed="64"/>
      </patternFill>
    </fill>
    <fill>
      <patternFill patternType="solid">
        <fgColor rgb="FF0066FF"/>
        <bgColor rgb="FF3366FF"/>
      </patternFill>
    </fill>
    <fill>
      <patternFill patternType="solid">
        <fgColor rgb="FFFF0000"/>
        <bgColor rgb="FF993300"/>
      </patternFill>
    </fill>
    <fill>
      <patternFill patternType="solid">
        <fgColor rgb="FFFFC000"/>
        <bgColor rgb="FFFF9900"/>
      </patternFill>
    </fill>
    <fill>
      <patternFill patternType="solid">
        <fgColor rgb="FF92D050"/>
        <bgColor rgb="FFBFBFBF"/>
      </patternFill>
    </fill>
    <fill>
      <patternFill patternType="solid">
        <fgColor rgb="FF00B050"/>
        <bgColor rgb="FF008080"/>
      </patternFill>
    </fill>
    <fill>
      <patternFill patternType="solid">
        <fgColor rgb="FFFFFFFF"/>
        <bgColor rgb="FFFFFFCC"/>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s>
  <cellStyleXfs count="1">
    <xf numFmtId="0" fontId="0" fillId="0" borderId="0"/>
  </cellStyleXfs>
  <cellXfs count="50">
    <xf numFmtId="0" fontId="0" fillId="0" borderId="0" xfId="0"/>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xf numFmtId="0" fontId="4" fillId="0" borderId="0" xfId="0" applyFont="1" applyAlignment="1">
      <alignment vertical="center" wrapText="1"/>
    </xf>
    <xf numFmtId="0" fontId="0" fillId="2" borderId="0" xfId="0" applyFill="1"/>
    <xf numFmtId="0" fontId="0" fillId="0" borderId="0" xfId="0" applyFill="1" applyBorder="1"/>
    <xf numFmtId="0" fontId="0" fillId="0" borderId="0" xfId="0" applyFill="1" applyBorder="1" applyAlignment="1">
      <alignment horizontal="center" vertical="center"/>
    </xf>
    <xf numFmtId="0" fontId="0" fillId="0" borderId="8" xfId="0" applyBorder="1"/>
    <xf numFmtId="0" fontId="6" fillId="3" borderId="5" xfId="0" applyFont="1" applyFill="1" applyBorder="1" applyAlignment="1">
      <alignment vertical="center"/>
    </xf>
    <xf numFmtId="0" fontId="7" fillId="3" borderId="6" xfId="0" applyFont="1" applyFill="1" applyBorder="1"/>
    <xf numFmtId="0" fontId="7" fillId="3" borderId="7" xfId="0" applyFont="1" applyFill="1" applyBorder="1"/>
    <xf numFmtId="0" fontId="7" fillId="0" borderId="0" xfId="0" applyFont="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justify" vertical="center" wrapText="1"/>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wrapText="1"/>
    </xf>
    <xf numFmtId="0" fontId="10" fillId="0" borderId="0" xfId="0" applyFont="1" applyAlignment="1">
      <alignment horizontal="center" vertical="center" wrapText="1"/>
    </xf>
    <xf numFmtId="0" fontId="11" fillId="4" borderId="1" xfId="0" applyFont="1" applyFill="1" applyBorder="1" applyAlignment="1">
      <alignment horizontal="justify" vertical="center" wrapText="1"/>
    </xf>
    <xf numFmtId="0" fontId="9" fillId="0" borderId="3" xfId="0" applyFont="1" applyBorder="1" applyAlignment="1">
      <alignment horizontal="justify" vertical="center" wrapText="1"/>
    </xf>
    <xf numFmtId="0" fontId="10" fillId="5" borderId="4" xfId="0" applyFont="1" applyFill="1" applyBorder="1" applyAlignment="1">
      <alignment horizontal="center" vertical="center" wrapText="1"/>
    </xf>
    <xf numFmtId="0" fontId="12" fillId="5" borderId="3" xfId="0" applyFont="1" applyFill="1" applyBorder="1" applyAlignment="1">
      <alignment horizontal="justify" vertical="center" wrapText="1"/>
    </xf>
    <xf numFmtId="0" fontId="10" fillId="6" borderId="4" xfId="0" applyFont="1" applyFill="1" applyBorder="1" applyAlignment="1">
      <alignment horizontal="center" vertical="center" wrapText="1"/>
    </xf>
    <xf numFmtId="0" fontId="12" fillId="6" borderId="3" xfId="0" applyFont="1" applyFill="1" applyBorder="1" applyAlignment="1">
      <alignment horizontal="justify" vertical="center" wrapText="1"/>
    </xf>
    <xf numFmtId="0" fontId="10" fillId="7" borderId="4" xfId="0" applyFont="1" applyFill="1" applyBorder="1" applyAlignment="1">
      <alignment horizontal="center" vertical="center" wrapText="1"/>
    </xf>
    <xf numFmtId="0" fontId="13" fillId="0" borderId="0" xfId="0" applyFont="1" applyAlignment="1">
      <alignment vertical="center" wrapText="1"/>
    </xf>
    <xf numFmtId="0" fontId="6" fillId="0" borderId="0" xfId="0" applyFont="1" applyAlignment="1">
      <alignment horizontal="left" vertical="center"/>
    </xf>
    <xf numFmtId="0" fontId="9" fillId="0" borderId="10" xfId="0" applyFont="1" applyBorder="1" applyAlignment="1">
      <alignment horizontal="justify" vertical="center" wrapText="1"/>
    </xf>
    <xf numFmtId="0" fontId="9" fillId="0" borderId="4" xfId="0" applyFont="1" applyBorder="1" applyAlignment="1">
      <alignment horizontal="justify" vertical="center" wrapText="1"/>
    </xf>
    <xf numFmtId="0" fontId="14" fillId="0" borderId="3" xfId="0" applyFont="1" applyBorder="1" applyAlignment="1">
      <alignment horizontal="justify" vertical="center" wrapText="1"/>
    </xf>
    <xf numFmtId="0" fontId="14" fillId="7" borderId="4" xfId="0" applyFont="1" applyFill="1" applyBorder="1" applyAlignment="1">
      <alignment horizontal="justify" vertical="center" wrapText="1"/>
    </xf>
    <xf numFmtId="0" fontId="10" fillId="0" borderId="0" xfId="0" applyFont="1" applyAlignment="1">
      <alignment vertical="center" wrapText="1"/>
    </xf>
    <xf numFmtId="0" fontId="15" fillId="8" borderId="8" xfId="0" applyFont="1" applyFill="1" applyBorder="1" applyAlignment="1">
      <alignment horizontal="center" vertical="center" wrapText="1"/>
    </xf>
    <xf numFmtId="0" fontId="15" fillId="8" borderId="0" xfId="0" applyFont="1" applyFill="1" applyAlignment="1">
      <alignment horizontal="center" vertical="center" wrapText="1"/>
    </xf>
    <xf numFmtId="0" fontId="15" fillId="0" borderId="8"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wrapText="1"/>
    </xf>
    <xf numFmtId="0" fontId="17" fillId="0" borderId="0" xfId="0" applyFont="1"/>
    <xf numFmtId="0" fontId="17" fillId="0" borderId="0" xfId="0" applyFont="1" applyAlignment="1">
      <alignment horizontal="center" vertical="center" wrapText="1"/>
    </xf>
    <xf numFmtId="0" fontId="18" fillId="0" borderId="0" xfId="0" applyFont="1" applyAlignment="1">
      <alignment vertical="center" wrapText="1"/>
    </xf>
    <xf numFmtId="0" fontId="14" fillId="0" borderId="9" xfId="0" applyFont="1" applyBorder="1" applyAlignment="1">
      <alignment horizontal="justify" vertical="center" wrapText="1"/>
    </xf>
    <xf numFmtId="0" fontId="14" fillId="0" borderId="3" xfId="0" applyFont="1" applyBorder="1" applyAlignment="1">
      <alignment horizontal="justify" vertical="center" wrapText="1"/>
    </xf>
    <xf numFmtId="0" fontId="9" fillId="0" borderId="9" xfId="0" applyFont="1" applyBorder="1" applyAlignment="1">
      <alignment horizontal="justify" vertical="center" wrapText="1"/>
    </xf>
    <xf numFmtId="0" fontId="9" fillId="0" borderId="3" xfId="0" applyFont="1" applyBorder="1" applyAlignment="1">
      <alignment horizontal="justify" vertical="center" wrapText="1"/>
    </xf>
    <xf numFmtId="0" fontId="14" fillId="4" borderId="9" xfId="0" applyFont="1" applyFill="1" applyBorder="1" applyAlignment="1">
      <alignment horizontal="justify" vertical="center" wrapText="1"/>
    </xf>
    <xf numFmtId="0" fontId="14" fillId="4" borderId="3" xfId="0" applyFont="1" applyFill="1" applyBorder="1" applyAlignment="1">
      <alignment horizontal="justify" vertical="center" wrapText="1"/>
    </xf>
  </cellXfs>
  <cellStyles count="1">
    <cellStyle name="Normal" xfId="0" builtinId="0"/>
  </cellStyles>
  <dxfs count="42">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FF0000"/>
        </patternFill>
      </fill>
    </dxf>
    <dxf>
      <font>
        <b/>
      </font>
      <fill>
        <patternFill>
          <bgColor rgb="FF92D050"/>
        </patternFill>
      </fill>
    </dxf>
    <dxf>
      <font>
        <b/>
      </font>
      <fill>
        <patternFill>
          <bgColor rgb="FFFF0000"/>
        </patternFill>
      </fill>
    </dxf>
    <dxf>
      <font>
        <b/>
      </font>
      <fill>
        <patternFill>
          <bgColor rgb="FF92D050"/>
        </patternFill>
      </fill>
    </dxf>
    <dxf>
      <font>
        <b/>
      </font>
      <fill>
        <patternFill>
          <bgColor rgb="FF92D050"/>
        </patternFill>
      </fill>
    </dxf>
    <dxf>
      <font>
        <b/>
      </font>
      <fill>
        <patternFill>
          <bgColor rgb="FFFF000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theme="7" tint="0.59996337778862885"/>
        </patternFill>
      </fill>
    </dxf>
    <dxf>
      <font>
        <b/>
        <i val="0"/>
      </font>
      <fill>
        <patternFill>
          <bgColor theme="7" tint="0.59996337778862885"/>
        </patternFill>
      </fill>
    </dxf>
    <dxf>
      <font>
        <b/>
        <i val="0"/>
      </font>
      <fill>
        <patternFill>
          <bgColor rgb="FFFFC000"/>
        </patternFill>
      </fill>
    </dxf>
    <dxf>
      <font>
        <b/>
        <i val="0"/>
      </font>
      <fill>
        <patternFill>
          <bgColor rgb="FFFF0000"/>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TN"/>
        </a:p>
      </c:txPr>
    </c:title>
    <c:autoTitleDeleted val="0"/>
    <c:plotArea>
      <c:layout>
        <c:manualLayout>
          <c:layoutTarget val="inner"/>
          <c:xMode val="edge"/>
          <c:yMode val="edge"/>
          <c:x val="0.14100444795834946"/>
          <c:y val="0.12387357830271216"/>
          <c:w val="0.74482985349167419"/>
          <c:h val="0.7718135753864098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1.7076502732239185E-3"/>
                  <c:y val="-2.7777777777777776E-2"/>
                </c:manualLayout>
              </c:layout>
              <c:tx>
                <c:rich>
                  <a:bodyPr/>
                  <a:lstStyle/>
                  <a:p>
                    <a:fld id="{190F7230-5BD3-4DA8-9467-8A0CE8479DE5}"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77A-4CC7-8D71-11738033F8FB}"/>
                </c:ext>
              </c:extLst>
            </c:dLbl>
            <c:dLbl>
              <c:idx val="1"/>
              <c:layout>
                <c:manualLayout>
                  <c:x val="6.8306010928961746E-3"/>
                  <c:y val="4.3209876543209874E-2"/>
                </c:manualLayout>
              </c:layout>
              <c:tx>
                <c:rich>
                  <a:bodyPr/>
                  <a:lstStyle/>
                  <a:p>
                    <a:fld id="{96235138-60C5-40EF-95AF-6CE2CAB4B4F4}"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77A-4CC7-8D71-11738033F8FB}"/>
                </c:ext>
              </c:extLst>
            </c:dLbl>
            <c:dLbl>
              <c:idx val="2"/>
              <c:layout>
                <c:manualLayout>
                  <c:x val="1.7076502732239185E-3"/>
                  <c:y val="-2.7777777777777891E-2"/>
                </c:manualLayout>
              </c:layout>
              <c:tx>
                <c:rich>
                  <a:bodyPr/>
                  <a:lstStyle/>
                  <a:p>
                    <a:fld id="{93C429D6-4D6F-4B1B-9B7A-17C9CE603B41}"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77A-4CC7-8D71-11738033F8FB}"/>
                </c:ext>
              </c:extLst>
            </c:dLbl>
            <c:dLbl>
              <c:idx val="3"/>
              <c:layout>
                <c:manualLayout>
                  <c:x val="-5.2777777777777882E-2"/>
                  <c:y val="-0.10648148148148148"/>
                </c:manualLayout>
              </c:layout>
              <c:tx>
                <c:rich>
                  <a:bodyPr/>
                  <a:lstStyle/>
                  <a:p>
                    <a:fld id="{8F48DF81-3225-4565-B3DD-0659B88EA269}"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77A-4CC7-8D71-11738033F8FB}"/>
                </c:ext>
              </c:extLst>
            </c:dLbl>
            <c:dLbl>
              <c:idx val="4"/>
              <c:layout>
                <c:manualLayout>
                  <c:x val="-7.7777777777777876E-2"/>
                  <c:y val="0.10648148148148148"/>
                </c:manualLayout>
              </c:layout>
              <c:tx>
                <c:rich>
                  <a:bodyPr/>
                  <a:lstStyle/>
                  <a:p>
                    <a:fld id="{8F49841D-605C-4B96-A475-C8EE4A3CB1A7}"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77A-4CC7-8D71-11738033F8FB}"/>
                </c:ext>
              </c:extLst>
            </c:dLbl>
            <c:dLbl>
              <c:idx val="5"/>
              <c:layout>
                <c:manualLayout>
                  <c:x val="-6.1475409836065573E-2"/>
                  <c:y val="5.8641975308641972E-2"/>
                </c:manualLayout>
              </c:layout>
              <c:tx>
                <c:rich>
                  <a:bodyPr/>
                  <a:lstStyle/>
                  <a:p>
                    <a:fld id="{AB5B6403-FA5F-431A-B5C6-8F921617118C}"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77A-4CC7-8D71-11738033F8FB}"/>
                </c:ext>
              </c:extLst>
            </c:dLbl>
            <c:dLbl>
              <c:idx val="6"/>
              <c:layout>
                <c:manualLayout>
                  <c:x val="-1.1953551912568305E-2"/>
                  <c:y val="9.5679012345678979E-2"/>
                </c:manualLayout>
              </c:layout>
              <c:tx>
                <c:rich>
                  <a:bodyPr/>
                  <a:lstStyle/>
                  <a:p>
                    <a:fld id="{15F9D26A-CD48-4A61-8983-C0A34B64234E}"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77A-4CC7-8D71-11738033F8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TN"/>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'Evaluation des opportunités'!$F$2:$F$8</c:f>
              <c:numCache>
                <c:formatCode>General</c:formatCode>
                <c:ptCount val="7"/>
                <c:pt idx="0">
                  <c:v>3</c:v>
                </c:pt>
                <c:pt idx="1">
                  <c:v>4</c:v>
                </c:pt>
                <c:pt idx="2">
                  <c:v>3</c:v>
                </c:pt>
                <c:pt idx="3">
                  <c:v>3</c:v>
                </c:pt>
                <c:pt idx="4">
                  <c:v>4</c:v>
                </c:pt>
                <c:pt idx="5">
                  <c:v>3</c:v>
                </c:pt>
                <c:pt idx="6">
                  <c:v>3</c:v>
                </c:pt>
              </c:numCache>
            </c:numRef>
          </c:xVal>
          <c:yVal>
            <c:numRef>
              <c:f>'Evaluation des opportunités'!$G$2:$G$8</c:f>
              <c:numCache>
                <c:formatCode>General</c:formatCode>
                <c:ptCount val="7"/>
                <c:pt idx="0">
                  <c:v>3</c:v>
                </c:pt>
                <c:pt idx="1">
                  <c:v>3</c:v>
                </c:pt>
                <c:pt idx="2">
                  <c:v>2</c:v>
                </c:pt>
                <c:pt idx="3">
                  <c:v>3</c:v>
                </c:pt>
                <c:pt idx="4">
                  <c:v>3</c:v>
                </c:pt>
                <c:pt idx="5">
                  <c:v>1</c:v>
                </c:pt>
                <c:pt idx="6">
                  <c:v>3</c:v>
                </c:pt>
              </c:numCache>
            </c:numRef>
          </c:yVal>
          <c:smooth val="0"/>
          <c:extLst>
            <c:ext xmlns:c15="http://schemas.microsoft.com/office/drawing/2012/chart" uri="{02D57815-91ED-43cb-92C2-25804820EDAC}">
              <c15:datalabelsRange>
                <c15:f>'Evaluation des opportunités'!$A$2:$A$9</c15:f>
                <c15:dlblRangeCache>
                  <c:ptCount val="8"/>
                  <c:pt idx="0">
                    <c:v>OP01</c:v>
                  </c:pt>
                  <c:pt idx="1">
                    <c:v>OP02</c:v>
                  </c:pt>
                  <c:pt idx="2">
                    <c:v>OP04</c:v>
                  </c:pt>
                  <c:pt idx="3">
                    <c:v>OP05</c:v>
                  </c:pt>
                  <c:pt idx="4">
                    <c:v>OP06</c:v>
                  </c:pt>
                  <c:pt idx="5">
                    <c:v>OP07</c:v>
                  </c:pt>
                  <c:pt idx="6">
                    <c:v>OP08</c:v>
                  </c:pt>
                </c15:dlblRangeCache>
              </c15:datalabelsRange>
            </c:ext>
            <c:ext xmlns:c16="http://schemas.microsoft.com/office/drawing/2014/chart" uri="{C3380CC4-5D6E-409C-BE32-E72D297353CC}">
              <c16:uniqueId val="{00000002-977A-4CC7-8D71-11738033F8FB}"/>
            </c:ext>
          </c:extLst>
        </c:ser>
        <c:dLbls>
          <c:showLegendKey val="0"/>
          <c:showVal val="0"/>
          <c:showCatName val="0"/>
          <c:showSerName val="0"/>
          <c:showPercent val="0"/>
          <c:showBubbleSize val="0"/>
        </c:dLbls>
        <c:axId val="979131008"/>
        <c:axId val="979130176"/>
      </c:scatterChart>
      <c:valAx>
        <c:axId val="979131008"/>
        <c:scaling>
          <c:orientation val="minMax"/>
          <c:max val="4"/>
          <c:min val="0"/>
        </c:scaling>
        <c:delete val="0"/>
        <c:axPos val="b"/>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0176"/>
        <c:crosses val="autoZero"/>
        <c:crossBetween val="midCat"/>
        <c:majorUnit val="1"/>
        <c:minorUnit val="0.5"/>
      </c:valAx>
      <c:valAx>
        <c:axId val="979130176"/>
        <c:scaling>
          <c:orientation val="minMax"/>
          <c:max val="3"/>
          <c:min val="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1008"/>
        <c:crosses val="autoZero"/>
        <c:crossBetween val="midCat"/>
        <c:majorUnit val="1"/>
        <c:minorUnit val="0.5"/>
      </c:valAx>
      <c:spPr>
        <a:gradFill flip="none" rotWithShape="1">
          <a:gsLst>
            <a:gs pos="20000">
              <a:srgbClr val="FF0000"/>
            </a:gs>
            <a:gs pos="65000">
              <a:srgbClr val="92D050"/>
            </a:gs>
            <a:gs pos="0">
              <a:srgbClr val="FF0000"/>
            </a:gs>
            <a:gs pos="100000">
              <a:srgbClr val="00B050"/>
            </a:gs>
          </a:gsLst>
          <a:path path="circle">
            <a:fillToRect t="100000" r="100000"/>
          </a:path>
          <a:tileRect l="-100000" b="-10000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fr-T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175260</xdr:colOff>
      <xdr:row>3</xdr:row>
      <xdr:rowOff>91440</xdr:rowOff>
    </xdr:from>
    <xdr:to>
      <xdr:col>16</xdr:col>
      <xdr:colOff>297180</xdr:colOff>
      <xdr:row>27</xdr:row>
      <xdr:rowOff>68580</xdr:rowOff>
    </xdr:to>
    <xdr:graphicFrame macro="">
      <xdr:nvGraphicFramePr>
        <xdr:cNvPr id="2" name="Chart 1">
          <a:extLst>
            <a:ext uri="{FF2B5EF4-FFF2-40B4-BE49-F238E27FC236}">
              <a16:creationId xmlns:a16="http://schemas.microsoft.com/office/drawing/2014/main" id="{E6F81408-D960-4C99-849F-B032B3C12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558911</xdr:colOff>
      <xdr:row>8</xdr:row>
      <xdr:rowOff>105023</xdr:rowOff>
    </xdr:from>
    <xdr:to>
      <xdr:col>4</xdr:col>
      <xdr:colOff>200771</xdr:colOff>
      <xdr:row>21</xdr:row>
      <xdr:rowOff>181223</xdr:rowOff>
    </xdr:to>
    <mc:AlternateContent xmlns:mc="http://schemas.openxmlformats.org/markup-compatibility/2006" xmlns:sle15="http://schemas.microsoft.com/office/drawing/2012/slicer">
      <mc:Choice Requires="sle15">
        <xdr:graphicFrame macro="">
          <xdr:nvGraphicFramePr>
            <xdr:cNvPr id="4" name="Responsable">
              <a:extLst>
                <a:ext uri="{FF2B5EF4-FFF2-40B4-BE49-F238E27FC236}">
                  <a16:creationId xmlns:a16="http://schemas.microsoft.com/office/drawing/2014/main" id="{8907BB92-E467-4933-AAB1-019D628412B8}"/>
                </a:ext>
              </a:extLst>
            </xdr:cNvPr>
            <xdr:cNvGraphicFramePr/>
          </xdr:nvGraphicFramePr>
          <xdr:xfrm>
            <a:off x="0" y="0"/>
            <a:ext cx="0" cy="0"/>
          </xdr:xfrm>
          <a:graphic>
            <a:graphicData uri="http://schemas.microsoft.com/office/drawing/2010/slicer">
              <sle:slicer xmlns:sle="http://schemas.microsoft.com/office/drawing/2010/slicer" name="Responsable"/>
            </a:graphicData>
          </a:graphic>
        </xdr:graphicFrame>
      </mc:Choice>
      <mc:Fallback xmlns="">
        <xdr:sp macro="" textlink="">
          <xdr:nvSpPr>
            <xdr:cNvPr id="0" name=""/>
            <xdr:cNvSpPr>
              <a:spLocks noTextEdit="1"/>
            </xdr:cNvSpPr>
          </xdr:nvSpPr>
          <xdr:spPr>
            <a:xfrm>
              <a:off x="558911" y="1562762"/>
              <a:ext cx="2093512" cy="244502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472440</xdr:colOff>
      <xdr:row>0</xdr:row>
      <xdr:rowOff>83820</xdr:rowOff>
    </xdr:from>
    <xdr:to>
      <xdr:col>13</xdr:col>
      <xdr:colOff>106680</xdr:colOff>
      <xdr:row>2</xdr:row>
      <xdr:rowOff>160020</xdr:rowOff>
    </xdr:to>
    <xdr:sp macro="" textlink="">
      <xdr:nvSpPr>
        <xdr:cNvPr id="5" name="Rectangle: Rounded Corners 4">
          <a:extLst>
            <a:ext uri="{FF2B5EF4-FFF2-40B4-BE49-F238E27FC236}">
              <a16:creationId xmlns:a16="http://schemas.microsoft.com/office/drawing/2014/main" id="{0E77DB8F-26BE-4815-9198-AE8EE5325D4D}"/>
            </a:ext>
          </a:extLst>
        </xdr:cNvPr>
        <xdr:cNvSpPr/>
      </xdr:nvSpPr>
      <xdr:spPr>
        <a:xfrm>
          <a:off x="4739640" y="83820"/>
          <a:ext cx="3291840" cy="4419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Cartographie des opportunitées</a:t>
          </a:r>
          <a:endParaRPr lang="fr-TN" sz="1800" b="1"/>
        </a:p>
      </xdr:txBody>
    </xdr:sp>
    <xdr:clientData/>
  </xdr:twoCellAnchor>
  <xdr:twoCellAnchor editAs="absolute">
    <xdr:from>
      <xdr:col>16</xdr:col>
      <xdr:colOff>342900</xdr:colOff>
      <xdr:row>3</xdr:row>
      <xdr:rowOff>118213</xdr:rowOff>
    </xdr:from>
    <xdr:to>
      <xdr:col>19</xdr:col>
      <xdr:colOff>342900</xdr:colOff>
      <xdr:row>8</xdr:row>
      <xdr:rowOff>60960</xdr:rowOff>
    </xdr:to>
    <mc:AlternateContent xmlns:mc="http://schemas.openxmlformats.org/markup-compatibility/2006" xmlns:sle15="http://schemas.microsoft.com/office/drawing/2012/slicer">
      <mc:Choice Requires="sle15">
        <xdr:graphicFrame macro="">
          <xdr:nvGraphicFramePr>
            <xdr:cNvPr id="6" name="Priorité">
              <a:extLst>
                <a:ext uri="{FF2B5EF4-FFF2-40B4-BE49-F238E27FC236}">
                  <a16:creationId xmlns:a16="http://schemas.microsoft.com/office/drawing/2014/main" id="{C5ECF395-FCB8-4BF2-95F8-7F434D71542E}"/>
                </a:ext>
              </a:extLst>
            </xdr:cNvPr>
            <xdr:cNvGraphicFramePr/>
          </xdr:nvGraphicFramePr>
          <xdr:xfrm>
            <a:off x="0" y="0"/>
            <a:ext cx="0" cy="0"/>
          </xdr:xfrm>
          <a:graphic>
            <a:graphicData uri="http://schemas.microsoft.com/office/drawing/2010/slicer">
              <sle:slicer xmlns:sle="http://schemas.microsoft.com/office/drawing/2010/slicer" name="Priorité"/>
            </a:graphicData>
          </a:graphic>
        </xdr:graphicFrame>
      </mc:Choice>
      <mc:Fallback xmlns="">
        <xdr:sp macro="" textlink="">
          <xdr:nvSpPr>
            <xdr:cNvPr id="0" name=""/>
            <xdr:cNvSpPr>
              <a:spLocks noTextEdit="1"/>
            </xdr:cNvSpPr>
          </xdr:nvSpPr>
          <xdr:spPr>
            <a:xfrm>
              <a:off x="10124853" y="676422"/>
              <a:ext cx="1834117" cy="87309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340841</xdr:colOff>
      <xdr:row>8</xdr:row>
      <xdr:rowOff>91441</xdr:rowOff>
    </xdr:from>
    <xdr:to>
      <xdr:col>19</xdr:col>
      <xdr:colOff>340841</xdr:colOff>
      <xdr:row>13</xdr:row>
      <xdr:rowOff>68581</xdr:rowOff>
    </xdr:to>
    <mc:AlternateContent xmlns:mc="http://schemas.openxmlformats.org/markup-compatibility/2006" xmlns:sle15="http://schemas.microsoft.com/office/drawing/2012/slicer">
      <mc:Choice Requires="sle15">
        <xdr:graphicFrame macro="">
          <xdr:nvGraphicFramePr>
            <xdr:cNvPr id="7" name="Décision">
              <a:extLst>
                <a:ext uri="{FF2B5EF4-FFF2-40B4-BE49-F238E27FC236}">
                  <a16:creationId xmlns:a16="http://schemas.microsoft.com/office/drawing/2014/main" id="{436B90AA-ECD6-4203-9496-3F8A4003D9C5}"/>
                </a:ext>
              </a:extLst>
            </xdr:cNvPr>
            <xdr:cNvGraphicFramePr/>
          </xdr:nvGraphicFramePr>
          <xdr:xfrm>
            <a:off x="0" y="0"/>
            <a:ext cx="0" cy="0"/>
          </xdr:xfrm>
          <a:graphic>
            <a:graphicData uri="http://schemas.microsoft.com/office/drawing/2010/slicer">
              <sle:slicer xmlns:sle="http://schemas.microsoft.com/office/drawing/2010/slicer" name="Décision"/>
            </a:graphicData>
          </a:graphic>
        </xdr:graphicFrame>
      </mc:Choice>
      <mc:Fallback xmlns="">
        <xdr:sp macro="" textlink="">
          <xdr:nvSpPr>
            <xdr:cNvPr id="0" name=""/>
            <xdr:cNvSpPr>
              <a:spLocks noTextEdit="1"/>
            </xdr:cNvSpPr>
          </xdr:nvSpPr>
          <xdr:spPr>
            <a:xfrm>
              <a:off x="10122794" y="1579999"/>
              <a:ext cx="1834117" cy="907489"/>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NOVO/Downloads/files/04-Registre_des_opportun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helles"/>
      <sheetName val="Listes"/>
      <sheetName val="Evaluation des opportunités"/>
      <sheetName val="Cartographie"/>
      <sheetName val="04-Registre_des_opportunites"/>
    </sheetNames>
    <sheetDataSet>
      <sheetData sheetId="0"/>
      <sheetData sheetId="1"/>
      <sheetData sheetId="2"/>
      <sheetData sheetId="3"/>
      <sheetData sheetId="4"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able" xr10:uid="{D9B259B4-6969-43F7-B0E5-711789982D8C}" sourceName="Responsable">
  <extLst>
    <x:ext xmlns:x15="http://schemas.microsoft.com/office/spreadsheetml/2010/11/main" uri="{2F2917AC-EB37-4324-AD4E-5DD8C200BD13}">
      <x15:tableSlicerCache tableId="1"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é" xr10:uid="{9F83D72A-88A7-4C2D-B3AD-B852E98D7E4A}" sourceName="Priorité">
  <extLst>
    <x:ext xmlns:x15="http://schemas.microsoft.com/office/spreadsheetml/2010/11/main" uri="{2F2917AC-EB37-4324-AD4E-5DD8C200BD13}">
      <x15:tableSlicerCache tableId="1"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écision" xr10:uid="{AECC495F-A2CC-415A-9419-561AFF7A4397}" sourceName="Décision">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 xr10:uid="{B5F4781D-F05B-4388-B3E7-CD82DED81D26}" cache="Slicer_Responsable" caption="Responsable" rowHeight="234950"/>
  <slicer name="Priorité" xr10:uid="{9D5FE16C-8933-4027-87C1-4F2B44850CAB}" cache="Slicer_Priorité" caption="Priorité" rowHeight="234950"/>
  <slicer name="Décision" xr10:uid="{66D2B034-04B8-418C-8C3C-2430EE03F99A}" cache="Slicer_Décision" caption="Décis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8C374-85D5-404E-8EAC-96B1361BF6CE}" name="Table1" displayName="Table1" ref="A1:O15" insertRowShift="1" totalsRowShown="0" headerRowDxfId="16" dataDxfId="15">
  <autoFilter ref="A1:O15" xr:uid="{3FB8C374-85D5-404E-8EAC-96B1361BF6CE}"/>
  <tableColumns count="15">
    <tableColumn id="1" xr3:uid="{60305C90-7C29-407C-8903-965C4BEEB965}" name="ID" dataDxfId="14"/>
    <tableColumn id="2" xr3:uid="{A74F3E8D-B81B-44E2-BE82-D2C293849105}" name="Opportunité" dataDxfId="13"/>
    <tableColumn id="3" xr3:uid="{D06C6571-9C88-461E-B118-4FC5CB574AC4}" name="Source" dataDxfId="12"/>
    <tableColumn id="4" xr3:uid="{6626D852-8444-4E36-99D1-912CE1B10BC8}" name="Processus" dataDxfId="11"/>
    <tableColumn id="5" xr3:uid="{A7377ABA-AF1A-4021-9C12-6374D87CC657}" name="Description" dataDxfId="10"/>
    <tableColumn id="6" xr3:uid="{AFF158CE-FC94-4E88-81E4-E3DA3B18A543}" name="Impact" dataDxfId="9"/>
    <tableColumn id="8" xr3:uid="{64D74AF9-67D3-47F4-8F99-80A66B06D2A6}" name="Vraisemblance" dataDxfId="8"/>
    <tableColumn id="9" xr3:uid="{73E9F74A-4D10-47CB-8CD7-56972442A9BA}" name="Score (V)" dataDxfId="7">
      <calculatedColumnFormula>[1]!Table1[[#This Row],[Impact]]*[1]!Table1[[#This Row],[Vraisemblance]]</calculatedColumnFormula>
    </tableColumn>
    <tableColumn id="10" xr3:uid="{913CFBC7-D8F2-4DE8-A39B-F52FFE554C52}" name="Priorité" dataDxfId="6">
      <calculatedColumnFormula>IF(H2&lt;6,"Non prioritaire",
(IF(H2&gt;=6,"Prioritaire")))</calculatedColumnFormula>
    </tableColumn>
    <tableColumn id="11" xr3:uid="{C27E7E10-E0E4-4818-83B5-B69979CF5B6E}" name="Décision" dataDxfId="5"/>
    <tableColumn id="12" xr3:uid="{8771FD21-F69B-42B0-9AB2-B2A49DA45B6E}" name="Actions" dataDxfId="4"/>
    <tableColumn id="13" xr3:uid="{A2FDD84B-0356-4E6F-A054-26B8E4FCBB29}" name="Responsable" dataDxfId="3"/>
    <tableColumn id="14" xr3:uid="{D95222A2-1064-4FB6-B98E-C1D925B20E66}" name="Échéance" dataDxfId="2"/>
    <tableColumn id="15" xr3:uid="{439AD254-4FCD-490C-B976-13AFE16CAE5E}" name="Statut" dataDxfId="1"/>
    <tableColumn id="16" xr3:uid="{99AE4269-6BF4-4E96-A110-F185356C46D1}" name="Résultat / Ga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CEAE-C804-4EB2-998F-62B9CDA5B04A}">
  <sheetPr>
    <tabColor rgb="FF002060"/>
    <pageSetUpPr fitToPage="1"/>
  </sheetPr>
  <dimension ref="A3:P34"/>
  <sheetViews>
    <sheetView showGridLines="0" zoomScale="29" workbookViewId="0">
      <selection activeCell="L16" sqref="L16"/>
    </sheetView>
  </sheetViews>
  <sheetFormatPr defaultRowHeight="14.4" x14ac:dyDescent="0.3"/>
  <cols>
    <col min="2" max="2" width="126.5546875" customWidth="1"/>
    <col min="3" max="3" width="31.33203125" customWidth="1"/>
    <col min="4" max="4" width="33.109375" customWidth="1"/>
    <col min="5" max="5" width="17.44140625" customWidth="1"/>
    <col min="12" max="12" width="130.88671875" customWidth="1"/>
    <col min="13" max="13" width="27.33203125" customWidth="1"/>
    <col min="14" max="14" width="34.109375" customWidth="1"/>
  </cols>
  <sheetData>
    <row r="3" spans="2:14" ht="30.6" customHeight="1" x14ac:dyDescent="0.3"/>
    <row r="4" spans="2:14" ht="36.6" customHeight="1" thickBot="1" x14ac:dyDescent="0.35">
      <c r="B4" s="10" t="s">
        <v>5</v>
      </c>
      <c r="C4" s="11"/>
      <c r="D4" s="12"/>
      <c r="E4" s="13"/>
      <c r="L4" s="10" t="s">
        <v>34</v>
      </c>
      <c r="M4" s="11"/>
      <c r="N4" s="12"/>
    </row>
    <row r="5" spans="2:14" ht="16.2" thickBot="1" x14ac:dyDescent="0.35">
      <c r="B5" s="14" t="s">
        <v>4</v>
      </c>
      <c r="C5" s="15" t="s">
        <v>20</v>
      </c>
      <c r="D5" s="15" t="s">
        <v>19</v>
      </c>
      <c r="E5" s="16"/>
      <c r="L5" s="14" t="s">
        <v>4</v>
      </c>
      <c r="M5" s="15" t="s">
        <v>20</v>
      </c>
      <c r="N5" s="15" t="s">
        <v>19</v>
      </c>
    </row>
    <row r="6" spans="2:14" ht="96" customHeight="1" thickBot="1" x14ac:dyDescent="0.35">
      <c r="B6" s="17" t="s">
        <v>39</v>
      </c>
      <c r="C6" s="18" t="s">
        <v>23</v>
      </c>
      <c r="D6" s="19">
        <v>1</v>
      </c>
      <c r="E6" s="20"/>
      <c r="L6" s="17" t="s">
        <v>43</v>
      </c>
      <c r="M6" s="21" t="s">
        <v>23</v>
      </c>
      <c r="N6" s="21">
        <v>1</v>
      </c>
    </row>
    <row r="7" spans="2:14" ht="85.8" customHeight="1" thickBot="1" x14ac:dyDescent="0.35">
      <c r="B7" s="22" t="s">
        <v>40</v>
      </c>
      <c r="C7" s="18" t="s">
        <v>22</v>
      </c>
      <c r="D7" s="23">
        <v>2</v>
      </c>
      <c r="E7" s="20"/>
      <c r="L7" s="22" t="s">
        <v>44</v>
      </c>
      <c r="M7" s="24" t="s">
        <v>22</v>
      </c>
      <c r="N7" s="24">
        <v>2</v>
      </c>
    </row>
    <row r="8" spans="2:14" ht="167.4" customHeight="1" thickBot="1" x14ac:dyDescent="0.35">
      <c r="B8" s="22" t="s">
        <v>41</v>
      </c>
      <c r="C8" s="18" t="s">
        <v>33</v>
      </c>
      <c r="D8" s="25">
        <v>3</v>
      </c>
      <c r="E8" s="20"/>
      <c r="L8" s="22" t="s">
        <v>45</v>
      </c>
      <c r="M8" s="26" t="s">
        <v>21</v>
      </c>
      <c r="N8" s="26">
        <v>3</v>
      </c>
    </row>
    <row r="9" spans="2:14" ht="132.6" customHeight="1" thickBot="1" x14ac:dyDescent="0.35">
      <c r="B9" s="22" t="s">
        <v>42</v>
      </c>
      <c r="C9" s="18" t="s">
        <v>37</v>
      </c>
      <c r="D9" s="27">
        <v>4</v>
      </c>
      <c r="E9" s="20"/>
    </row>
    <row r="10" spans="2:14" ht="40.200000000000003" customHeight="1" x14ac:dyDescent="0.3"/>
    <row r="14" spans="2:14" ht="15.6" x14ac:dyDescent="0.3">
      <c r="B14" s="28"/>
    </row>
    <row r="15" spans="2:14" ht="24" thickBot="1" x14ac:dyDescent="0.35">
      <c r="B15" s="10" t="s">
        <v>24</v>
      </c>
      <c r="C15" s="10" t="s">
        <v>8</v>
      </c>
      <c r="D15" s="10" t="s">
        <v>49</v>
      </c>
      <c r="E15" s="10" t="s">
        <v>50</v>
      </c>
      <c r="L15" s="29"/>
      <c r="M15" s="13"/>
      <c r="N15" s="13"/>
    </row>
    <row r="16" spans="2:14" ht="34.799999999999997" customHeight="1" x14ac:dyDescent="0.3">
      <c r="B16" s="44" t="s">
        <v>35</v>
      </c>
      <c r="C16" s="30" t="s">
        <v>46</v>
      </c>
      <c r="D16" s="46" t="s">
        <v>54</v>
      </c>
      <c r="E16" s="48" t="s">
        <v>51</v>
      </c>
      <c r="L16" s="16"/>
      <c r="M16" s="16"/>
      <c r="N16" s="16"/>
    </row>
    <row r="17" spans="1:16" ht="61.8" customHeight="1" thickBot="1" x14ac:dyDescent="0.35">
      <c r="B17" s="45"/>
      <c r="C17" s="31" t="s">
        <v>47</v>
      </c>
      <c r="D17" s="47"/>
      <c r="E17" s="49"/>
      <c r="L17" s="20"/>
      <c r="M17" s="20"/>
      <c r="N17" s="28"/>
    </row>
    <row r="18" spans="1:16" ht="52.2" customHeight="1" thickBot="1" x14ac:dyDescent="0.35">
      <c r="B18" s="32" t="s">
        <v>25</v>
      </c>
      <c r="C18" s="31" t="s">
        <v>48</v>
      </c>
      <c r="D18" s="31" t="s">
        <v>52</v>
      </c>
      <c r="E18" s="33" t="s">
        <v>53</v>
      </c>
      <c r="L18" s="20"/>
      <c r="M18" s="20"/>
      <c r="N18" s="28"/>
    </row>
    <row r="19" spans="1:16" ht="28.2" customHeight="1" x14ac:dyDescent="0.3">
      <c r="B19" s="28"/>
      <c r="C19" s="34"/>
      <c r="D19" s="20"/>
      <c r="E19" s="20"/>
      <c r="L19" s="20"/>
      <c r="M19" s="20"/>
      <c r="N19" s="28"/>
    </row>
    <row r="20" spans="1:16" ht="32.4" customHeight="1" x14ac:dyDescent="0.3">
      <c r="B20" s="28"/>
      <c r="C20" s="34"/>
      <c r="D20" s="20"/>
      <c r="E20" s="20"/>
      <c r="L20" s="20"/>
      <c r="M20" s="20"/>
      <c r="N20" s="28"/>
    </row>
    <row r="21" spans="1:16" ht="23.4" customHeight="1" x14ac:dyDescent="0.3">
      <c r="B21" s="28"/>
      <c r="C21" s="34"/>
      <c r="D21" s="20"/>
      <c r="E21" s="20"/>
    </row>
    <row r="22" spans="1:16" ht="27" customHeight="1" x14ac:dyDescent="0.3">
      <c r="B22" s="28"/>
      <c r="C22" s="34"/>
      <c r="D22" s="20"/>
      <c r="E22" s="20"/>
    </row>
    <row r="27" spans="1:16" x14ac:dyDescent="0.3">
      <c r="A27" s="7"/>
      <c r="B27" s="7"/>
      <c r="C27" s="7"/>
      <c r="D27" s="7"/>
      <c r="E27" s="7"/>
      <c r="F27" s="7"/>
      <c r="G27" s="7"/>
      <c r="H27" s="7"/>
      <c r="I27" s="7"/>
      <c r="J27" s="7"/>
      <c r="K27" s="7"/>
      <c r="L27" s="7"/>
      <c r="M27" s="7"/>
      <c r="N27" s="7"/>
      <c r="O27" s="7"/>
      <c r="P27" s="7"/>
    </row>
    <row r="28" spans="1:16" x14ac:dyDescent="0.3">
      <c r="A28" s="7"/>
      <c r="B28" s="7"/>
      <c r="C28" s="7"/>
      <c r="D28" s="7"/>
      <c r="E28" s="7"/>
      <c r="F28" s="7"/>
      <c r="G28" s="7"/>
      <c r="H28" s="7"/>
      <c r="I28" s="7"/>
      <c r="J28" s="7"/>
      <c r="K28" s="7"/>
      <c r="L28" s="7"/>
      <c r="M28" s="7"/>
      <c r="N28" s="7"/>
      <c r="O28" s="7"/>
      <c r="P28" s="7"/>
    </row>
    <row r="29" spans="1:16" x14ac:dyDescent="0.3">
      <c r="A29" s="7"/>
      <c r="B29" s="7"/>
      <c r="C29" s="7"/>
      <c r="D29" s="7"/>
      <c r="E29" s="7"/>
      <c r="F29" s="7"/>
      <c r="G29" s="7"/>
      <c r="H29" s="7"/>
      <c r="I29" s="7"/>
      <c r="J29" s="7"/>
      <c r="K29" s="7"/>
      <c r="O29" s="7"/>
      <c r="P29" s="7"/>
    </row>
    <row r="30" spans="1:16" x14ac:dyDescent="0.3">
      <c r="A30" s="7"/>
      <c r="B30" s="7"/>
      <c r="C30" s="7"/>
      <c r="D30" s="7"/>
      <c r="E30" s="7"/>
      <c r="F30" s="8"/>
      <c r="G30" s="8"/>
      <c r="H30" s="8"/>
      <c r="I30" s="8"/>
      <c r="J30" s="7"/>
      <c r="K30" s="7"/>
      <c r="O30" s="7"/>
      <c r="P30" s="7"/>
    </row>
    <row r="31" spans="1:16" x14ac:dyDescent="0.3">
      <c r="D31" s="7"/>
      <c r="E31" s="7"/>
      <c r="F31" s="8"/>
      <c r="G31" s="8"/>
      <c r="H31" s="8"/>
      <c r="I31" s="8"/>
      <c r="J31" s="7"/>
    </row>
    <row r="32" spans="1:16" x14ac:dyDescent="0.3">
      <c r="D32" s="7"/>
      <c r="E32" s="7"/>
      <c r="F32" s="8"/>
      <c r="G32" s="8"/>
      <c r="H32" s="8"/>
      <c r="I32" s="8"/>
      <c r="J32" s="7"/>
    </row>
    <row r="33" spans="4:10" x14ac:dyDescent="0.3">
      <c r="D33" s="7"/>
      <c r="E33" s="7"/>
      <c r="F33" s="8"/>
      <c r="G33" s="8"/>
      <c r="H33" s="8"/>
      <c r="I33" s="8"/>
      <c r="J33" s="7"/>
    </row>
    <row r="34" spans="4:10" x14ac:dyDescent="0.3">
      <c r="D34" s="7"/>
      <c r="E34" s="7"/>
      <c r="F34" s="7"/>
      <c r="G34" s="7"/>
      <c r="H34" s="7"/>
      <c r="I34" s="7"/>
      <c r="J34" s="7"/>
    </row>
  </sheetData>
  <mergeCells count="3">
    <mergeCell ref="B16:B17"/>
    <mergeCell ref="D16:D17"/>
    <mergeCell ref="E16:E17"/>
  </mergeCells>
  <dataValidations disablePrompts="1" count="1">
    <dataValidation type="list" allowBlank="1" showInputMessage="1" showErrorMessage="1" sqref="G10" xr:uid="{06BD1EDD-5D3E-46B0-A6ED-5707AC64A4BD}">
      <formula1>Score</formula1>
      <formula2>0</formula2>
    </dataValidation>
  </dataValidations>
  <pageMargins left="0.7" right="0.7" top="0.75" bottom="0.75" header="0.3" footer="0.3"/>
  <pageSetup paperSize="9" scale="1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AC67-7579-4C7D-89B4-864BD27B3AEC}">
  <sheetPr>
    <pageSetUpPr fitToPage="1"/>
  </sheetPr>
  <dimension ref="C3:G14"/>
  <sheetViews>
    <sheetView showGridLines="0" zoomScale="48" workbookViewId="0">
      <selection activeCell="G27" sqref="G27"/>
    </sheetView>
  </sheetViews>
  <sheetFormatPr defaultRowHeight="14.4" x14ac:dyDescent="0.3"/>
  <cols>
    <col min="3" max="3" width="51.88671875" customWidth="1"/>
    <col min="7" max="7" width="65.77734375" customWidth="1"/>
  </cols>
  <sheetData>
    <row r="3" spans="3:7" x14ac:dyDescent="0.3">
      <c r="C3" s="9" t="s">
        <v>10</v>
      </c>
    </row>
    <row r="4" spans="3:7" ht="16.2" x14ac:dyDescent="0.3">
      <c r="C4" s="35" t="s">
        <v>55</v>
      </c>
      <c r="G4" s="36"/>
    </row>
    <row r="5" spans="3:7" ht="16.2" x14ac:dyDescent="0.3">
      <c r="C5" s="35" t="s">
        <v>56</v>
      </c>
      <c r="G5" s="36"/>
    </row>
    <row r="6" spans="3:7" ht="16.2" x14ac:dyDescent="0.3">
      <c r="C6" s="35" t="s">
        <v>57</v>
      </c>
      <c r="G6" s="36"/>
    </row>
    <row r="7" spans="3:7" ht="16.2" x14ac:dyDescent="0.3">
      <c r="C7" s="35" t="s">
        <v>58</v>
      </c>
      <c r="G7" s="36"/>
    </row>
    <row r="8" spans="3:7" ht="16.2" x14ac:dyDescent="0.3">
      <c r="C8" s="35" t="s">
        <v>59</v>
      </c>
      <c r="G8" s="36"/>
    </row>
    <row r="9" spans="3:7" ht="16.2" x14ac:dyDescent="0.3">
      <c r="C9" s="37" t="s">
        <v>60</v>
      </c>
      <c r="G9" s="36"/>
    </row>
    <row r="10" spans="3:7" ht="16.2" x14ac:dyDescent="0.3">
      <c r="C10" s="35" t="s">
        <v>61</v>
      </c>
      <c r="G10" s="36"/>
    </row>
    <row r="11" spans="3:7" ht="16.2" x14ac:dyDescent="0.3">
      <c r="C11" s="35" t="s">
        <v>62</v>
      </c>
      <c r="G11" s="36"/>
    </row>
    <row r="12" spans="3:7" ht="16.2" x14ac:dyDescent="0.3">
      <c r="C12" s="35" t="s">
        <v>63</v>
      </c>
      <c r="G12" s="36"/>
    </row>
    <row r="13" spans="3:7" ht="16.2" x14ac:dyDescent="0.3">
      <c r="C13" s="35" t="s">
        <v>38</v>
      </c>
    </row>
    <row r="14" spans="3:7" ht="16.2" x14ac:dyDescent="0.3">
      <c r="C14" s="35" t="s">
        <v>64</v>
      </c>
    </row>
  </sheetData>
  <pageMargins left="0.7" right="0.7" top="0.75" bottom="0.75" header="0.3" footer="0.3"/>
  <pageSetup paperSize="9" scale="5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pageSetUpPr fitToPage="1"/>
  </sheetPr>
  <dimension ref="A1:O18"/>
  <sheetViews>
    <sheetView zoomScale="28" zoomScaleNormal="145" workbookViewId="0">
      <selection sqref="A1:O14"/>
    </sheetView>
  </sheetViews>
  <sheetFormatPr defaultRowHeight="14.4" x14ac:dyDescent="0.3"/>
  <cols>
    <col min="1" max="1" width="8.21875" customWidth="1"/>
    <col min="2" max="2" width="53" customWidth="1"/>
    <col min="3" max="3" width="19.33203125" customWidth="1"/>
    <col min="4" max="4" width="24.5546875" customWidth="1"/>
    <col min="5" max="5" width="42.6640625" customWidth="1"/>
    <col min="6" max="6" width="19.33203125" customWidth="1"/>
    <col min="7" max="7" width="16.5546875" customWidth="1"/>
    <col min="8" max="8" width="26" customWidth="1"/>
    <col min="9" max="9" width="46.44140625" customWidth="1"/>
    <col min="10" max="10" width="25.109375" customWidth="1"/>
    <col min="11" max="11" width="41.44140625" customWidth="1"/>
    <col min="12" max="12" width="55.21875" customWidth="1"/>
    <col min="13" max="13" width="13.33203125" customWidth="1"/>
    <col min="14" max="14" width="11.6640625" customWidth="1"/>
    <col min="15" max="15" width="53.109375" customWidth="1"/>
  </cols>
  <sheetData>
    <row r="1" spans="1:15" s="4" customFormat="1" ht="36" x14ac:dyDescent="0.35">
      <c r="A1" s="38" t="s">
        <v>0</v>
      </c>
      <c r="B1" s="38" t="s">
        <v>1</v>
      </c>
      <c r="C1" s="38" t="s">
        <v>2</v>
      </c>
      <c r="D1" s="38" t="s">
        <v>3</v>
      </c>
      <c r="E1" s="38" t="s">
        <v>4</v>
      </c>
      <c r="F1" s="38" t="s">
        <v>36</v>
      </c>
      <c r="G1" s="38" t="s">
        <v>34</v>
      </c>
      <c r="H1" s="38" t="s">
        <v>6</v>
      </c>
      <c r="I1" s="38" t="s">
        <v>7</v>
      </c>
      <c r="J1" s="38" t="s">
        <v>8</v>
      </c>
      <c r="K1" s="38" t="s">
        <v>9</v>
      </c>
      <c r="L1" s="38" t="s">
        <v>10</v>
      </c>
      <c r="M1" s="38" t="s">
        <v>11</v>
      </c>
      <c r="N1" s="38" t="s">
        <v>12</v>
      </c>
      <c r="O1" s="38" t="s">
        <v>13</v>
      </c>
    </row>
    <row r="2" spans="1:15" ht="15.6" x14ac:dyDescent="0.3">
      <c r="A2" s="39" t="s">
        <v>14</v>
      </c>
      <c r="B2" s="39" t="s">
        <v>15</v>
      </c>
      <c r="C2" s="39" t="s">
        <v>16</v>
      </c>
      <c r="E2" s="40"/>
      <c r="F2" s="41">
        <v>3</v>
      </c>
      <c r="G2" s="41">
        <v>3</v>
      </c>
      <c r="H2" s="40">
        <f>[1]!Table1[[#This Row],[Impact]]*[1]!Table1[[#This Row],[Vraisemblance]]</f>
        <v>9</v>
      </c>
      <c r="I2" s="40" t="str">
        <f t="shared" ref="I2:I14" si="0">IF(H2&lt;6,"Non prioritaire",
(IF(H2&gt;=6,"Prioritaire")))</f>
        <v>Prioritaire</v>
      </c>
      <c r="J2" s="40" t="s">
        <v>17</v>
      </c>
      <c r="K2" s="40"/>
      <c r="L2" s="42" t="s">
        <v>55</v>
      </c>
      <c r="M2" s="40"/>
      <c r="N2" s="39" t="s">
        <v>18</v>
      </c>
      <c r="O2" s="40"/>
    </row>
    <row r="3" spans="1:15" ht="15.6" x14ac:dyDescent="0.3">
      <c r="A3" s="39" t="s">
        <v>27</v>
      </c>
      <c r="B3" s="39" t="s">
        <v>26</v>
      </c>
      <c r="C3" s="39" t="s">
        <v>16</v>
      </c>
      <c r="D3" s="39"/>
      <c r="E3" s="40"/>
      <c r="F3" s="41">
        <v>4</v>
      </c>
      <c r="G3" s="41">
        <v>3</v>
      </c>
      <c r="H3" s="40">
        <f>[1]!Table1[[#This Row],[Impact]]*[1]!Table1[[#This Row],[Vraisemblance]]</f>
        <v>12</v>
      </c>
      <c r="I3" s="40" t="str">
        <f t="shared" si="0"/>
        <v>Prioritaire</v>
      </c>
      <c r="J3" s="40" t="s">
        <v>17</v>
      </c>
      <c r="K3" s="40"/>
      <c r="L3" s="42" t="s">
        <v>56</v>
      </c>
      <c r="M3" s="40"/>
      <c r="N3" s="39" t="s">
        <v>18</v>
      </c>
      <c r="O3" s="40"/>
    </row>
    <row r="4" spans="1:15" ht="46.8" x14ac:dyDescent="0.3">
      <c r="A4" s="39" t="s">
        <v>28</v>
      </c>
      <c r="B4" s="39" t="s">
        <v>65</v>
      </c>
      <c r="C4" s="40"/>
      <c r="D4" s="39"/>
      <c r="E4" s="40" t="s">
        <v>66</v>
      </c>
      <c r="F4" s="41">
        <v>3</v>
      </c>
      <c r="G4" s="41">
        <v>2</v>
      </c>
      <c r="H4" s="40">
        <f>[1]!Table1[[#This Row],[Impact]]*[1]!Table1[[#This Row],[Vraisemblance]]</f>
        <v>6</v>
      </c>
      <c r="I4" s="40" t="str">
        <f t="shared" si="0"/>
        <v>Prioritaire</v>
      </c>
      <c r="J4" s="40" t="s">
        <v>17</v>
      </c>
      <c r="K4" s="40"/>
      <c r="L4" s="42" t="s">
        <v>55</v>
      </c>
      <c r="M4" s="40"/>
      <c r="N4" s="40"/>
      <c r="O4" s="40"/>
    </row>
    <row r="5" spans="1:15" ht="15.6" x14ac:dyDescent="0.3">
      <c r="A5" s="39" t="s">
        <v>29</v>
      </c>
      <c r="B5" s="40"/>
      <c r="C5" s="40"/>
      <c r="D5" s="39"/>
      <c r="E5" s="40"/>
      <c r="F5" s="41">
        <v>3</v>
      </c>
      <c r="G5" s="41">
        <v>3</v>
      </c>
      <c r="H5" s="40">
        <f>[1]!Table1[[#This Row],[Impact]]*[1]!Table1[[#This Row],[Vraisemblance]]</f>
        <v>9</v>
      </c>
      <c r="I5" s="40" t="str">
        <f t="shared" si="0"/>
        <v>Prioritaire</v>
      </c>
      <c r="J5" s="40"/>
      <c r="K5" s="40"/>
      <c r="L5" s="42"/>
      <c r="M5" s="40"/>
      <c r="N5" s="40"/>
      <c r="O5" s="40"/>
    </row>
    <row r="6" spans="1:15" ht="15.6" x14ac:dyDescent="0.3">
      <c r="A6" s="39" t="s">
        <v>30</v>
      </c>
      <c r="B6" s="40"/>
      <c r="C6" s="40"/>
      <c r="D6" s="39"/>
      <c r="E6" s="40"/>
      <c r="F6" s="41">
        <v>4</v>
      </c>
      <c r="G6" s="41">
        <v>3</v>
      </c>
      <c r="H6" s="40">
        <f>[1]!Table1[[#This Row],[Impact]]*[1]!Table1[[#This Row],[Vraisemblance]]</f>
        <v>12</v>
      </c>
      <c r="I6" s="40" t="str">
        <f t="shared" si="0"/>
        <v>Prioritaire</v>
      </c>
      <c r="J6" s="40"/>
      <c r="K6" s="40"/>
      <c r="L6" s="42"/>
      <c r="M6" s="40"/>
      <c r="N6" s="40"/>
      <c r="O6" s="40"/>
    </row>
    <row r="7" spans="1:15" ht="15.6" x14ac:dyDescent="0.3">
      <c r="A7" s="39" t="s">
        <v>31</v>
      </c>
      <c r="B7" s="40"/>
      <c r="C7" s="40"/>
      <c r="D7" s="39"/>
      <c r="E7" s="40"/>
      <c r="F7" s="41">
        <v>3</v>
      </c>
      <c r="G7" s="41">
        <v>1</v>
      </c>
      <c r="H7" s="40">
        <f>[1]!Table1[[#This Row],[Impact]]*[1]!Table1[[#This Row],[Vraisemblance]]</f>
        <v>3</v>
      </c>
      <c r="I7" s="40" t="str">
        <f t="shared" si="0"/>
        <v>Non prioritaire</v>
      </c>
      <c r="J7" s="40"/>
      <c r="K7" s="40"/>
      <c r="L7" s="42"/>
      <c r="M7" s="40"/>
      <c r="N7" s="40"/>
      <c r="O7" s="40"/>
    </row>
    <row r="8" spans="1:15" ht="15.6" x14ac:dyDescent="0.3">
      <c r="A8" s="39" t="s">
        <v>32</v>
      </c>
      <c r="B8" s="40"/>
      <c r="C8" s="40"/>
      <c r="D8" s="39"/>
      <c r="E8" s="40"/>
      <c r="F8" s="41">
        <v>3</v>
      </c>
      <c r="G8" s="41">
        <v>3</v>
      </c>
      <c r="H8" s="40">
        <f>[1]!Table1[[#This Row],[Impact]]*[1]!Table1[[#This Row],[Vraisemblance]]</f>
        <v>9</v>
      </c>
      <c r="I8" s="40" t="str">
        <f t="shared" si="0"/>
        <v>Prioritaire</v>
      </c>
      <c r="J8" s="40"/>
      <c r="K8" s="40"/>
      <c r="L8" s="42"/>
      <c r="M8" s="40"/>
      <c r="N8" s="40"/>
      <c r="O8" s="40"/>
    </row>
    <row r="9" spans="1:15" ht="15.6" x14ac:dyDescent="0.3">
      <c r="A9" s="40"/>
      <c r="B9" s="40"/>
      <c r="C9" s="40"/>
      <c r="D9" s="39"/>
      <c r="E9" s="40"/>
      <c r="F9" s="41"/>
      <c r="G9" s="41"/>
      <c r="H9" s="40">
        <f>[1]!Table1[[#This Row],[Impact]]*[1]!Table1[[#This Row],[Vraisemblance]]</f>
        <v>0</v>
      </c>
      <c r="I9" s="40" t="str">
        <f t="shared" si="0"/>
        <v>Non prioritaire</v>
      </c>
      <c r="J9" s="40"/>
      <c r="K9" s="40"/>
      <c r="L9" s="42"/>
      <c r="M9" s="40"/>
      <c r="N9" s="40"/>
      <c r="O9" s="40"/>
    </row>
    <row r="10" spans="1:15" ht="15.6" x14ac:dyDescent="0.3">
      <c r="A10" s="40"/>
      <c r="B10" s="40"/>
      <c r="C10" s="40"/>
      <c r="D10" s="39"/>
      <c r="E10" s="40"/>
      <c r="F10" s="41"/>
      <c r="G10" s="41"/>
      <c r="H10" s="40">
        <f>[1]!Table1[[#This Row],[Impact]]*[1]!Table1[[#This Row],[Vraisemblance]]</f>
        <v>0</v>
      </c>
      <c r="I10" s="40" t="str">
        <f t="shared" si="0"/>
        <v>Non prioritaire</v>
      </c>
      <c r="J10" s="40"/>
      <c r="K10" s="40"/>
      <c r="L10" s="42"/>
      <c r="M10" s="40"/>
      <c r="N10" s="40"/>
      <c r="O10" s="40"/>
    </row>
    <row r="11" spans="1:15" ht="15.6" x14ac:dyDescent="0.3">
      <c r="A11" s="40"/>
      <c r="B11" s="40"/>
      <c r="C11" s="40"/>
      <c r="D11" s="39"/>
      <c r="E11" s="40"/>
      <c r="F11" s="41"/>
      <c r="G11" s="41"/>
      <c r="H11" s="40">
        <f>[1]!Table1[[#This Row],[Impact]]*[1]!Table1[[#This Row],[Vraisemblance]]</f>
        <v>0</v>
      </c>
      <c r="I11" s="40" t="str">
        <f t="shared" si="0"/>
        <v>Non prioritaire</v>
      </c>
      <c r="J11" s="40"/>
      <c r="K11" s="40"/>
      <c r="L11" s="42"/>
      <c r="M11" s="40"/>
      <c r="N11" s="40"/>
      <c r="O11" s="40"/>
    </row>
    <row r="12" spans="1:15" ht="15.6" x14ac:dyDescent="0.3">
      <c r="A12" s="40"/>
      <c r="B12" s="40"/>
      <c r="C12" s="40"/>
      <c r="D12" s="39"/>
      <c r="E12" s="40"/>
      <c r="F12" s="41"/>
      <c r="G12" s="41"/>
      <c r="H12" s="40">
        <f>[1]!Table1[[#This Row],[Impact]]*[1]!Table1[[#This Row],[Vraisemblance]]</f>
        <v>0</v>
      </c>
      <c r="I12" s="40" t="str">
        <f t="shared" si="0"/>
        <v>Non prioritaire</v>
      </c>
      <c r="J12" s="40"/>
      <c r="K12" s="40"/>
      <c r="L12" s="42"/>
      <c r="M12" s="40"/>
      <c r="N12" s="40"/>
      <c r="O12" s="40"/>
    </row>
    <row r="13" spans="1:15" ht="15.6" x14ac:dyDescent="0.3">
      <c r="A13" s="40"/>
      <c r="B13" s="40"/>
      <c r="C13" s="40"/>
      <c r="D13" s="43"/>
      <c r="E13" s="40"/>
      <c r="F13" s="40"/>
      <c r="G13" s="40"/>
      <c r="H13" s="40">
        <f>[1]!Table1[[#This Row],[Impact]]*[1]!Table1[[#This Row],[Vraisemblance]]</f>
        <v>0</v>
      </c>
      <c r="I13" s="40" t="str">
        <f t="shared" si="0"/>
        <v>Non prioritaire</v>
      </c>
      <c r="J13" s="40"/>
      <c r="K13" s="40"/>
      <c r="L13" s="42"/>
      <c r="M13" s="40"/>
      <c r="N13" s="40"/>
      <c r="O13" s="40"/>
    </row>
    <row r="14" spans="1:15" ht="15.6" x14ac:dyDescent="0.3">
      <c r="A14" s="40"/>
      <c r="B14" s="40"/>
      <c r="C14" s="40"/>
      <c r="D14" s="43"/>
      <c r="E14" s="40"/>
      <c r="F14" s="40"/>
      <c r="G14" s="40"/>
      <c r="H14" s="40">
        <f>[1]!Table1[[#This Row],[Impact]]*[1]!Table1[[#This Row],[Vraisemblance]]</f>
        <v>0</v>
      </c>
      <c r="I14" s="40" t="str">
        <f t="shared" si="0"/>
        <v>Non prioritaire</v>
      </c>
      <c r="J14" s="40"/>
      <c r="K14" s="40"/>
      <c r="L14" s="42"/>
      <c r="M14" s="40"/>
      <c r="N14" s="40"/>
      <c r="O14" s="40"/>
    </row>
    <row r="15" spans="1:15" ht="15.6" x14ac:dyDescent="0.3">
      <c r="A15" s="2"/>
      <c r="B15" s="2"/>
      <c r="C15" s="2"/>
      <c r="D15" s="5"/>
      <c r="E15" s="2"/>
      <c r="F15" s="2"/>
      <c r="G15" s="2"/>
      <c r="H15" s="2" t="e">
        <f>[1]!Table1[[#This Row],[Impact]]*[1]!Table1[[#This Row],[Vraisemblance]]</f>
        <v>#VALUE!</v>
      </c>
      <c r="I15" s="2" t="e">
        <f t="shared" ref="I15" si="1">IF(H15&lt;6,"Non prioritaire",
(IF(H15&gt;=6,"Prioritaire")))</f>
        <v>#VALUE!</v>
      </c>
      <c r="J15" s="2"/>
      <c r="K15" s="2"/>
      <c r="L15" s="3"/>
      <c r="M15" s="2"/>
      <c r="N15" s="2"/>
      <c r="O15" s="2"/>
    </row>
    <row r="18" spans="3:12" x14ac:dyDescent="0.3">
      <c r="C18" s="1"/>
      <c r="D18" s="1"/>
      <c r="E18" s="1"/>
      <c r="F18" s="1"/>
      <c r="G18" s="1"/>
      <c r="H18" s="1"/>
      <c r="I18" s="1"/>
      <c r="J18" s="1"/>
      <c r="K18" s="1"/>
      <c r="L18" s="1"/>
    </row>
  </sheetData>
  <phoneticPr fontId="2" type="noConversion"/>
  <conditionalFormatting sqref="I15">
    <cfRule type="containsText" dxfId="41" priority="28" operator="containsText" text="Non pertinente">
      <formula>NOT(ISERROR(SEARCH("Non pertinente",I15)))</formula>
    </cfRule>
    <cfRule type="containsText" dxfId="40" priority="29" operator="containsText" text="Peu ">
      <formula>NOT(ISERROR(SEARCH("Peu ",I15)))</formula>
    </cfRule>
    <cfRule type="containsText" dxfId="39" priority="30" operator="containsText" text="moyenne">
      <formula>NOT(ISERROR(SEARCH("moyenne",I15)))</formula>
    </cfRule>
    <cfRule type="beginsWith" dxfId="38" priority="31" operator="beginsWith" text="Prioritaire">
      <formula>LEFT(I15,LEN("Prioritaire"))="Prioritaire"</formula>
    </cfRule>
    <cfRule type="containsText" dxfId="37" priority="32" operator="containsText" text="Très prioritaire">
      <formula>NOT(ISERROR(SEARCH("Très prioritaire",I15)))</formula>
    </cfRule>
  </conditionalFormatting>
  <conditionalFormatting sqref="H15">
    <cfRule type="cellIs" dxfId="36" priority="19" operator="greaterThanOrEqual">
      <formula>6</formula>
    </cfRule>
    <cfRule type="cellIs" dxfId="35" priority="20" operator="lessThan">
      <formula>6</formula>
    </cfRule>
  </conditionalFormatting>
  <conditionalFormatting sqref="I15">
    <cfRule type="containsText" dxfId="34" priority="17" operator="containsText" text="Non">
      <formula>NOT(ISERROR(SEARCH("Non",I15)))</formula>
    </cfRule>
    <cfRule type="containsText" dxfId="33" priority="18" operator="containsText" text="Prioritaire">
      <formula>NOT(ISERROR(SEARCH("Prioritaire",I15)))</formula>
    </cfRule>
  </conditionalFormatting>
  <conditionalFormatting sqref="I2:I14">
    <cfRule type="containsText" dxfId="32" priority="1" operator="containsText" text="Non">
      <formula>NOT(ISERROR(SEARCH("Non",I2)))</formula>
    </cfRule>
    <cfRule type="containsText" dxfId="31" priority="2" operator="containsText" text="Prioritaire">
      <formula>NOT(ISERROR(SEARCH("Prioritaire",I2)))</formula>
    </cfRule>
  </conditionalFormatting>
  <conditionalFormatting sqref="H3:H14">
    <cfRule type="cellIs" dxfId="30" priority="3" operator="greaterThanOrEqual">
      <formula>6</formula>
    </cfRule>
    <cfRule type="cellIs" dxfId="29" priority="4" operator="lessThan">
      <formula>6</formula>
    </cfRule>
  </conditionalFormatting>
  <conditionalFormatting sqref="H2">
    <cfRule type="cellIs" dxfId="28" priority="5" operator="greaterThanOrEqual">
      <formula>6</formula>
    </cfRule>
    <cfRule type="cellIs" dxfId="27" priority="6" operator="lessThan">
      <formula>6</formula>
    </cfRule>
  </conditionalFormatting>
  <conditionalFormatting sqref="I3 I5:I14">
    <cfRule type="containsText" dxfId="26" priority="7" operator="containsText" text="Non pertinente">
      <formula>NOT(ISERROR(SEARCH("Non pertinente",I3)))</formula>
    </cfRule>
    <cfRule type="containsText" dxfId="25" priority="8" operator="containsText" text="Peu ">
      <formula>NOT(ISERROR(SEARCH("Peu ",I3)))</formula>
    </cfRule>
    <cfRule type="containsText" dxfId="24" priority="9" operator="containsText" text="moyenne">
      <formula>NOT(ISERROR(SEARCH("moyenne",I3)))</formula>
    </cfRule>
    <cfRule type="beginsWith" dxfId="23" priority="10" operator="beginsWith" text="Prioritaire">
      <formula>LEFT(I3,LEN("Prioritaire"))="Prioritaire"</formula>
    </cfRule>
    <cfRule type="containsText" dxfId="22" priority="11" operator="containsText" text="Très prioritaire">
      <formula>NOT(ISERROR(SEARCH("Très prioritaire",I3)))</formula>
    </cfRule>
  </conditionalFormatting>
  <conditionalFormatting sqref="I2">
    <cfRule type="containsText" dxfId="21" priority="12" operator="containsText" text="Non pertinente">
      <formula>NOT(ISERROR(SEARCH("Non pertinente",I2)))</formula>
    </cfRule>
    <cfRule type="containsText" dxfId="20" priority="13" operator="containsText" text="Peu ">
      <formula>NOT(ISERROR(SEARCH("Peu ",I2)))</formula>
    </cfRule>
    <cfRule type="containsText" dxfId="19" priority="14" operator="containsText" text="moyenne">
      <formula>NOT(ISERROR(SEARCH("moyenne",I2)))</formula>
    </cfRule>
    <cfRule type="beginsWith" dxfId="18" priority="15" operator="beginsWith" text="Prioritaire">
      <formula>LEFT(I2,LEN("Prioritaire"))="Prioritaire"</formula>
    </cfRule>
    <cfRule type="containsText" dxfId="17" priority="16" operator="containsText" text="Très prioritaire">
      <formula>NOT(ISERROR(SEARCH("Très prioritaire",I2)))</formula>
    </cfRule>
  </conditionalFormatting>
  <dataValidations count="6">
    <dataValidation type="list" allowBlank="1" showInputMessage="1" showErrorMessage="1" sqref="F15:G15" xr:uid="{2AF3F65F-2E77-4AEE-8916-31E24B0EADCA}">
      <formula1>Score</formula1>
    </dataValidation>
    <dataValidation type="list" allowBlank="1" showInputMessage="1" showErrorMessage="1" sqref="L15" xr:uid="{8D91B01E-B457-416C-90CC-A9C67E4A8143}">
      <formula1>Responsables</formula1>
    </dataValidation>
    <dataValidation type="list" allowBlank="1" showInputMessage="1" showErrorMessage="1" sqref="D3:D7 D11" xr:uid="{90FC81E0-39D5-4DA3-9BD8-F2B7DF93F482}">
      <formula1>Processus</formula1>
      <formula2>0</formula2>
    </dataValidation>
    <dataValidation type="list" allowBlank="1" showInputMessage="1" showErrorMessage="1" sqref="L2:L14" xr:uid="{BF7F6599-E129-47B2-AB98-F83A4C0DC3F2}">
      <formula1>Responsables</formula1>
      <formula2>0</formula2>
    </dataValidation>
    <dataValidation type="list" allowBlank="1" showInputMessage="1" showErrorMessage="1" sqref="G2" xr:uid="{70116CC9-0DEE-40F7-876F-833EA9C41416}">
      <formula1>V</formula1>
      <formula2>0</formula2>
    </dataValidation>
    <dataValidation type="list" allowBlank="1" showInputMessage="1" showErrorMessage="1" sqref="F9:G14 G3:G8 F2:F8" xr:uid="{1343C0BA-7B70-4B36-BE00-4E377BE07701}">
      <formula1>Score</formula1>
      <formula2>0</formula2>
    </dataValidation>
  </dataValidations>
  <pageMargins left="0.7" right="0.7" top="0.75" bottom="0.75" header="0.3" footer="0.3"/>
  <pageSetup paperSize="9" scale="1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381D-C890-4B1E-A3CC-8B2A81521CDE}">
  <sheetPr>
    <tabColor theme="5" tint="0.59999389629810485"/>
    <pageSetUpPr fitToPage="1"/>
  </sheetPr>
  <dimension ref="A1"/>
  <sheetViews>
    <sheetView showGridLines="0" tabSelected="1" zoomScale="92" zoomScaleNormal="50" workbookViewId="0">
      <selection activeCell="T21" sqref="T21"/>
    </sheetView>
  </sheetViews>
  <sheetFormatPr defaultRowHeight="14.4" x14ac:dyDescent="0.3"/>
  <cols>
    <col min="1" max="16384" width="8.88671875" style="6"/>
  </cols>
  <sheetData/>
  <pageMargins left="0.7" right="0.7" top="0.75" bottom="0.75" header="0.3" footer="0.3"/>
  <pageSetup paperSize="9" scale="4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Echelles</vt:lpstr>
      <vt:lpstr>Listes</vt:lpstr>
      <vt:lpstr>Evaluation des opportunités</vt:lpstr>
      <vt:lpstr>Cartographie</vt:lpstr>
      <vt:lpstr>Processus</vt:lpstr>
      <vt:lpstr>Responsables</vt:lpstr>
      <vt:lpstr>Score</vt:lpstr>
      <vt:lpst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cp:lastPrinted>2026-05-14T13:56:05Z</cp:lastPrinted>
  <dcterms:created xsi:type="dcterms:W3CDTF">2015-06-05T18:17:20Z</dcterms:created>
  <dcterms:modified xsi:type="dcterms:W3CDTF">2026-07-31T09:16:12Z</dcterms:modified>
</cp:coreProperties>
</file>